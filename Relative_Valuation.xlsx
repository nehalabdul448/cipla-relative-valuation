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k\Downloads\"/>
    </mc:Choice>
  </mc:AlternateContent>
  <xr:revisionPtr revIDLastSave="0" documentId="8_{65151D2B-EEC2-4B0F-957B-ECF1A421B935}" xr6:coauthVersionLast="47" xr6:coauthVersionMax="47" xr10:uidLastSave="{00000000-0000-0000-0000-000000000000}"/>
  <bookViews>
    <workbookView xWindow="-110" yWindow="-110" windowWidth="19420" windowHeight="10300" xr2:uid="{A5988200-5071-4A77-91E8-6D53BCEFB6B9}"/>
  </bookViews>
  <sheets>
    <sheet name="Comps_Val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L26" i="1"/>
  <c r="L25" i="1"/>
  <c r="L24" i="1"/>
  <c r="L23" i="1"/>
  <c r="L22" i="1"/>
  <c r="L21" i="1"/>
  <c r="L20" i="1"/>
  <c r="L19" i="1"/>
  <c r="L18" i="1"/>
  <c r="L17" i="1"/>
  <c r="B17" i="1"/>
  <c r="K26" i="1"/>
  <c r="K25" i="1"/>
  <c r="K24" i="1"/>
  <c r="K23" i="1"/>
  <c r="K22" i="1"/>
  <c r="K17" i="1"/>
  <c r="K21" i="1"/>
  <c r="K20" i="1"/>
  <c r="K19" i="1"/>
  <c r="K18" i="1"/>
  <c r="J26" i="1"/>
  <c r="J25" i="1"/>
  <c r="J24" i="1"/>
  <c r="J23" i="1"/>
  <c r="J22" i="1"/>
  <c r="J17" i="1"/>
  <c r="J21" i="1"/>
  <c r="J20" i="1"/>
  <c r="J19" i="1"/>
  <c r="J18" i="1"/>
  <c r="H26" i="1"/>
  <c r="H25" i="1"/>
  <c r="H24" i="1"/>
  <c r="H23" i="1"/>
  <c r="H22" i="1"/>
  <c r="H17" i="1"/>
  <c r="H21" i="1"/>
  <c r="H20" i="1"/>
  <c r="H19" i="1"/>
  <c r="H18" i="1"/>
  <c r="G26" i="1"/>
  <c r="G25" i="1"/>
  <c r="G24" i="1"/>
  <c r="G23" i="1"/>
  <c r="G22" i="1"/>
  <c r="G17" i="1"/>
  <c r="N38" i="1" s="1"/>
  <c r="G21" i="1"/>
  <c r="G20" i="1"/>
  <c r="G19" i="1"/>
  <c r="G18" i="1"/>
  <c r="I3" i="2"/>
  <c r="I12" i="2"/>
  <c r="I11" i="2"/>
  <c r="I10" i="2"/>
  <c r="I9" i="2"/>
  <c r="I8" i="2"/>
  <c r="I7" i="2"/>
  <c r="I6" i="2"/>
  <c r="I5" i="2"/>
  <c r="I4" i="2"/>
  <c r="E26" i="1"/>
  <c r="E25" i="1"/>
  <c r="E24" i="1"/>
  <c r="E23" i="1"/>
  <c r="E22" i="1"/>
  <c r="E17" i="1"/>
  <c r="P40" i="1" s="1"/>
  <c r="E21" i="1"/>
  <c r="E20" i="1"/>
  <c r="E19" i="1"/>
  <c r="E18" i="1"/>
  <c r="D26" i="1"/>
  <c r="D25" i="1"/>
  <c r="D24" i="1"/>
  <c r="D23" i="1"/>
  <c r="D22" i="1"/>
  <c r="D21" i="1"/>
  <c r="D20" i="1"/>
  <c r="D19" i="1"/>
  <c r="D18" i="1"/>
  <c r="B26" i="1"/>
  <c r="B25" i="1"/>
  <c r="B24" i="1"/>
  <c r="B23" i="1"/>
  <c r="B22" i="1"/>
  <c r="B21" i="1"/>
  <c r="B20" i="1"/>
  <c r="B19" i="1"/>
  <c r="B18" i="1"/>
  <c r="N12" i="2"/>
  <c r="N11" i="2"/>
  <c r="N10" i="2"/>
  <c r="N9" i="2"/>
  <c r="N8" i="2"/>
  <c r="N7" i="2"/>
  <c r="N6" i="2"/>
  <c r="N5" i="2"/>
  <c r="N4" i="2"/>
  <c r="N3" i="2"/>
  <c r="F12" i="2"/>
  <c r="J12" i="2" s="1"/>
  <c r="F11" i="2"/>
  <c r="J11" i="2" s="1"/>
  <c r="F10" i="2"/>
  <c r="J10" i="2" s="1"/>
  <c r="F9" i="2"/>
  <c r="J9" i="2" s="1"/>
  <c r="F8" i="2"/>
  <c r="J8" i="2" s="1"/>
  <c r="F7" i="2"/>
  <c r="J7" i="2" s="1"/>
  <c r="F6" i="2"/>
  <c r="J6" i="2" s="1"/>
  <c r="F5" i="2"/>
  <c r="J5" i="2" s="1"/>
  <c r="F4" i="2"/>
  <c r="J4" i="2" s="1"/>
  <c r="F3" i="2"/>
  <c r="J3" i="2" s="1"/>
  <c r="N18" i="1" l="1"/>
  <c r="O24" i="1"/>
  <c r="O18" i="1"/>
  <c r="O20" i="1"/>
  <c r="N21" i="1"/>
  <c r="N17" i="1"/>
  <c r="N22" i="1"/>
  <c r="O23" i="1"/>
  <c r="O17" i="1"/>
  <c r="O21" i="1"/>
  <c r="N24" i="1"/>
  <c r="O38" i="1"/>
  <c r="P38" i="1"/>
  <c r="O25" i="1"/>
  <c r="O26" i="1"/>
  <c r="N20" i="1"/>
  <c r="O19" i="1"/>
  <c r="O22" i="1"/>
  <c r="N23" i="1"/>
  <c r="N19" i="1"/>
  <c r="N25" i="1"/>
  <c r="N40" i="1"/>
  <c r="O40" i="1"/>
  <c r="N26" i="1"/>
  <c r="F25" i="1"/>
  <c r="P25" i="1" s="1"/>
  <c r="F26" i="1"/>
  <c r="P26" i="1" s="1"/>
  <c r="F17" i="1"/>
  <c r="P17" i="1" s="1"/>
  <c r="F21" i="1"/>
  <c r="P21" i="1" s="1"/>
  <c r="F22" i="1"/>
  <c r="P22" i="1" s="1"/>
  <c r="F18" i="1"/>
  <c r="P18" i="1" s="1"/>
  <c r="F19" i="1"/>
  <c r="P19" i="1" s="1"/>
  <c r="F20" i="1"/>
  <c r="P20" i="1" s="1"/>
  <c r="F23" i="1"/>
  <c r="P23" i="1" s="1"/>
  <c r="F24" i="1"/>
  <c r="P24" i="1" s="1"/>
  <c r="O31" i="1" l="1"/>
  <c r="O37" i="1" s="1"/>
  <c r="O39" i="1" s="1"/>
  <c r="O42" i="1" s="1"/>
  <c r="O45" i="1" s="1"/>
  <c r="O32" i="1"/>
  <c r="O29" i="1"/>
  <c r="O28" i="1"/>
  <c r="O33" i="1"/>
  <c r="O30" i="1"/>
  <c r="N30" i="1"/>
  <c r="P28" i="1"/>
  <c r="P33" i="1"/>
  <c r="P32" i="1"/>
  <c r="P29" i="1"/>
  <c r="P31" i="1"/>
  <c r="P39" i="1" s="1"/>
  <c r="P30" i="1"/>
  <c r="N28" i="1"/>
  <c r="N29" i="1"/>
  <c r="N31" i="1"/>
  <c r="N37" i="1" s="1"/>
  <c r="N39" i="1" s="1"/>
  <c r="N42" i="1" s="1"/>
  <c r="N45" i="1" s="1"/>
  <c r="N32" i="1"/>
  <c r="N33" i="1"/>
  <c r="P37" i="1" l="1"/>
  <c r="P42" i="1"/>
  <c r="P45" i="1" s="1"/>
</calcChain>
</file>

<file path=xl/sharedStrings.xml><?xml version="1.0" encoding="utf-8"?>
<sst xmlns="http://schemas.openxmlformats.org/spreadsheetml/2006/main" count="72" uniqueCount="63">
  <si>
    <t>Comparable Company Valuation</t>
  </si>
  <si>
    <t>Share Price</t>
  </si>
  <si>
    <t>Shares Outstanding</t>
  </si>
  <si>
    <t>Equity Value</t>
  </si>
  <si>
    <t>Net Debt</t>
  </si>
  <si>
    <t>Enterprise Value</t>
  </si>
  <si>
    <t>Market Data</t>
  </si>
  <si>
    <t xml:space="preserve"> </t>
  </si>
  <si>
    <t>Revenue</t>
  </si>
  <si>
    <t>EBITDA</t>
  </si>
  <si>
    <t>Net Income</t>
  </si>
  <si>
    <t>Valuation</t>
  </si>
  <si>
    <t>Financials</t>
  </si>
  <si>
    <t>S.No.</t>
  </si>
  <si>
    <t>Name</t>
  </si>
  <si>
    <t>CMP Rs.</t>
  </si>
  <si>
    <t>No. Eq. Shares Cr.</t>
  </si>
  <si>
    <t>Debt Rs.Cr.</t>
  </si>
  <si>
    <t>Cash End Rs.Cr.</t>
  </si>
  <si>
    <t>Sales Rs.Cr.</t>
  </si>
  <si>
    <t>EBIT 12M Rs.Cr.</t>
  </si>
  <si>
    <t>Dep 12M Rs.Cr.</t>
  </si>
  <si>
    <t>Sun Pharma.Inds.</t>
  </si>
  <si>
    <t>Divi's Lab.</t>
  </si>
  <si>
    <t>Torrent Pharma.</t>
  </si>
  <si>
    <t>Dr Reddy's Labs</t>
  </si>
  <si>
    <t>Cipla</t>
  </si>
  <si>
    <t>Lupin</t>
  </si>
  <si>
    <t>Zydus Lifesci.</t>
  </si>
  <si>
    <t>Mankind Pharma</t>
  </si>
  <si>
    <t>Aurobindo Pharma</t>
  </si>
  <si>
    <t>Alkem Lab</t>
  </si>
  <si>
    <t>Market Value/Cap</t>
  </si>
  <si>
    <t>EV</t>
  </si>
  <si>
    <t>NP 12M Rs.Cr</t>
  </si>
  <si>
    <t xml:space="preserve">Company </t>
  </si>
  <si>
    <t>Ticker</t>
  </si>
  <si>
    <t>SUNPHARMA</t>
  </si>
  <si>
    <t>DIVISLAB</t>
  </si>
  <si>
    <t>TORNTPHARM</t>
  </si>
  <si>
    <t>DRREDY</t>
  </si>
  <si>
    <t>CIPLA</t>
  </si>
  <si>
    <t>LUPIN</t>
  </si>
  <si>
    <t>ZYDUSLIFE</t>
  </si>
  <si>
    <t>MANKIND</t>
  </si>
  <si>
    <t>AUROPHARMA</t>
  </si>
  <si>
    <t>ALKEM</t>
  </si>
  <si>
    <t>EV/Revenue</t>
  </si>
  <si>
    <t>EV/EBITDA</t>
  </si>
  <si>
    <t>P/E</t>
  </si>
  <si>
    <t>High</t>
  </si>
  <si>
    <t>75th Percentile</t>
  </si>
  <si>
    <t>Average</t>
  </si>
  <si>
    <t>Median</t>
  </si>
  <si>
    <t>25th Percentile</t>
  </si>
  <si>
    <t>Low</t>
  </si>
  <si>
    <t>Cipla Comparable Valuation</t>
  </si>
  <si>
    <t>Implied Enterprise Value</t>
  </si>
  <si>
    <t>Implied Market Value</t>
  </si>
  <si>
    <t>Shares Outstandings</t>
  </si>
  <si>
    <t>Implied Value Per Share</t>
  </si>
  <si>
    <t>Source: Screener.in</t>
  </si>
  <si>
    <t>Figures in Crores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</si>
</sst>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&quot;x&quot;"/>
  </numFmts>
  <fonts count="5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 style="hair">
        <color theme="3"/>
      </top>
      <bottom style="hair">
        <color theme="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medium">
        <color theme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2" xfId="0" applyFont="1" applyFill="1" applyBorder="1"/>
    <xf numFmtId="0" fontId="0" fillId="3" borderId="0" xfId="0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1" fillId="2" borderId="0" xfId="0" applyFont="1" applyFill="1" applyAlignment="1">
      <alignment horizontal="right" wrapText="1"/>
    </xf>
    <xf numFmtId="164" fontId="0" fillId="0" borderId="0" xfId="0" applyNumberFormat="1"/>
    <xf numFmtId="0" fontId="0" fillId="4" borderId="3" xfId="0" applyFill="1" applyBorder="1"/>
    <xf numFmtId="164" fontId="0" fillId="4" borderId="3" xfId="0" applyNumberFormat="1" applyFill="1" applyBorder="1"/>
    <xf numFmtId="165" fontId="0" fillId="4" borderId="3" xfId="0" applyNumberFormat="1" applyFill="1" applyBorder="1" applyAlignment="1">
      <alignment horizontal="right"/>
    </xf>
    <xf numFmtId="0" fontId="0" fillId="0" borderId="3" xfId="0" applyBorder="1"/>
    <xf numFmtId="164" fontId="0" fillId="0" borderId="3" xfId="0" applyNumberFormat="1" applyBorder="1"/>
    <xf numFmtId="165" fontId="0" fillId="0" borderId="3" xfId="0" applyNumberFormat="1" applyBorder="1" applyAlignment="1">
      <alignment horizontal="right"/>
    </xf>
    <xf numFmtId="0" fontId="2" fillId="4" borderId="4" xfId="0" applyFont="1" applyFill="1" applyBorder="1"/>
    <xf numFmtId="164" fontId="2" fillId="4" borderId="4" xfId="0" applyNumberFormat="1" applyFont="1" applyFill="1" applyBorder="1"/>
    <xf numFmtId="0" fontId="0" fillId="4" borderId="5" xfId="0" applyFill="1" applyBorder="1"/>
    <xf numFmtId="165" fontId="0" fillId="4" borderId="5" xfId="0" applyNumberFormat="1" applyFill="1" applyBorder="1"/>
    <xf numFmtId="0" fontId="2" fillId="4" borderId="5" xfId="0" applyFont="1" applyFill="1" applyBorder="1"/>
    <xf numFmtId="165" fontId="2" fillId="4" borderId="5" xfId="0" applyNumberFormat="1" applyFont="1" applyFill="1" applyBorder="1"/>
    <xf numFmtId="0" fontId="0" fillId="0" borderId="5" xfId="0" applyBorder="1"/>
    <xf numFmtId="164" fontId="0" fillId="0" borderId="5" xfId="0" applyNumberFormat="1" applyBorder="1"/>
    <xf numFmtId="0" fontId="4" fillId="0" borderId="0" xfId="0" applyFont="1"/>
    <xf numFmtId="0" fontId="0" fillId="0" borderId="6" xfId="0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ipla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120650</xdr:rowOff>
    </xdr:to>
    <xdr:sp macro="" textlink="">
      <xdr:nvSpPr>
        <xdr:cNvPr id="1025" name="AutoShape 1" descr="Cipla">
          <a:hlinkClick xmlns:r="http://schemas.openxmlformats.org/officeDocument/2006/relationships" r:id="rId1" tooltip="Home"/>
          <a:extLst>
            <a:ext uri="{FF2B5EF4-FFF2-40B4-BE49-F238E27FC236}">
              <a16:creationId xmlns:a16="http://schemas.microsoft.com/office/drawing/2014/main" id="{1D882F7C-1AB5-6771-A282-E51E83C54EAD}"/>
            </a:ext>
          </a:extLst>
        </xdr:cNvPr>
        <xdr:cNvSpPr>
          <a:spLocks noChangeAspect="1" noChangeArrowheads="1"/>
        </xdr:cNvSpPr>
      </xdr:nvSpPr>
      <xdr:spPr bwMode="auto">
        <a:xfrm>
          <a:off x="1270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120650</xdr:rowOff>
    </xdr:to>
    <xdr:sp macro="" textlink="">
      <xdr:nvSpPr>
        <xdr:cNvPr id="1026" name="AutoShape 2" descr="Cipla">
          <a:hlinkClick xmlns:r="http://schemas.openxmlformats.org/officeDocument/2006/relationships" r:id="rId1" tooltip="Home"/>
          <a:extLst>
            <a:ext uri="{FF2B5EF4-FFF2-40B4-BE49-F238E27FC236}">
              <a16:creationId xmlns:a16="http://schemas.microsoft.com/office/drawing/2014/main" id="{C98B1231-0662-E92B-B117-46792BBE1521}"/>
            </a:ext>
          </a:extLst>
        </xdr:cNvPr>
        <xdr:cNvSpPr>
          <a:spLocks noChangeAspect="1" noChangeArrowheads="1"/>
        </xdr:cNvSpPr>
      </xdr:nvSpPr>
      <xdr:spPr bwMode="auto">
        <a:xfrm>
          <a:off x="1270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120650</xdr:rowOff>
    </xdr:to>
    <xdr:sp macro="" textlink="">
      <xdr:nvSpPr>
        <xdr:cNvPr id="1027" name="AutoShape 3" descr="Cipla">
          <a:hlinkClick xmlns:r="http://schemas.openxmlformats.org/officeDocument/2006/relationships" r:id="rId1" tooltip="Home"/>
          <a:extLst>
            <a:ext uri="{FF2B5EF4-FFF2-40B4-BE49-F238E27FC236}">
              <a16:creationId xmlns:a16="http://schemas.microsoft.com/office/drawing/2014/main" id="{839E0795-AAAF-7CDF-6441-4F45AEF27439}"/>
            </a:ext>
          </a:extLst>
        </xdr:cNvPr>
        <xdr:cNvSpPr>
          <a:spLocks noChangeAspect="1" noChangeArrowheads="1"/>
        </xdr:cNvSpPr>
      </xdr:nvSpPr>
      <xdr:spPr bwMode="auto">
        <a:xfrm>
          <a:off x="1270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120650</xdr:rowOff>
    </xdr:to>
    <xdr:sp macro="" textlink="">
      <xdr:nvSpPr>
        <xdr:cNvPr id="1028" name="AutoShape 4" descr="Cipla">
          <a:hlinkClick xmlns:r="http://schemas.openxmlformats.org/officeDocument/2006/relationships" r:id="rId1" tooltip="Home"/>
          <a:extLst>
            <a:ext uri="{FF2B5EF4-FFF2-40B4-BE49-F238E27FC236}">
              <a16:creationId xmlns:a16="http://schemas.microsoft.com/office/drawing/2014/main" id="{4DABF15C-A240-6CA6-767A-3D2E8D97F457}"/>
            </a:ext>
          </a:extLst>
        </xdr:cNvPr>
        <xdr:cNvSpPr>
          <a:spLocks noChangeAspect="1" noChangeArrowheads="1"/>
        </xdr:cNvSpPr>
      </xdr:nvSpPr>
      <xdr:spPr bwMode="auto">
        <a:xfrm>
          <a:off x="1270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120650</xdr:rowOff>
    </xdr:to>
    <xdr:sp macro="" textlink="">
      <xdr:nvSpPr>
        <xdr:cNvPr id="1029" name="AutoShape 5" descr="Cipla">
          <a:hlinkClick xmlns:r="http://schemas.openxmlformats.org/officeDocument/2006/relationships" r:id="rId1" tooltip="Home"/>
          <a:extLst>
            <a:ext uri="{FF2B5EF4-FFF2-40B4-BE49-F238E27FC236}">
              <a16:creationId xmlns:a16="http://schemas.microsoft.com/office/drawing/2014/main" id="{499FBF7C-8058-59F0-1220-1965391538D1}"/>
            </a:ext>
          </a:extLst>
        </xdr:cNvPr>
        <xdr:cNvSpPr>
          <a:spLocks noChangeAspect="1" noChangeArrowheads="1"/>
        </xdr:cNvSpPr>
      </xdr:nvSpPr>
      <xdr:spPr bwMode="auto">
        <a:xfrm>
          <a:off x="1270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120650</xdr:rowOff>
    </xdr:to>
    <xdr:sp macro="" textlink="">
      <xdr:nvSpPr>
        <xdr:cNvPr id="1030" name="AutoShape 6" descr="Cipla">
          <a:hlinkClick xmlns:r="http://schemas.openxmlformats.org/officeDocument/2006/relationships" r:id="rId1" tooltip="Home"/>
          <a:extLst>
            <a:ext uri="{FF2B5EF4-FFF2-40B4-BE49-F238E27FC236}">
              <a16:creationId xmlns:a16="http://schemas.microsoft.com/office/drawing/2014/main" id="{D50FFCD5-D655-47A5-7DD5-8B08D6B5FEE2}"/>
            </a:ext>
          </a:extLst>
        </xdr:cNvPr>
        <xdr:cNvSpPr>
          <a:spLocks noChangeAspect="1" noChangeArrowheads="1"/>
        </xdr:cNvSpPr>
      </xdr:nvSpPr>
      <xdr:spPr bwMode="auto">
        <a:xfrm>
          <a:off x="1270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118534</xdr:colOff>
      <xdr:row>1</xdr:row>
      <xdr:rowOff>93134</xdr:rowOff>
    </xdr:from>
    <xdr:to>
      <xdr:col>3</xdr:col>
      <xdr:colOff>601134</xdr:colOff>
      <xdr:row>6</xdr:row>
      <xdr:rowOff>162588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BAAE679-3F84-F618-EEF8-9393BE0D3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534" y="279401"/>
          <a:ext cx="2878667" cy="100078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A074-1356-4237-8331-E9B9B56EAC66}">
  <dimension ref="B7:S46"/>
  <sheetViews>
    <sheetView showGridLines="0" tabSelected="1" zoomScale="81" workbookViewId="0">
      <selection activeCell="E6" sqref="E6"/>
    </sheetView>
  </sheetViews>
  <sheetFormatPr defaultRowHeight="14.5" x14ac:dyDescent="0.35"/>
  <cols>
    <col min="1" max="1" width="1.81640625" customWidth="1"/>
    <col min="2" max="2" width="19.08984375" customWidth="1"/>
    <col min="3" max="3" width="13.26953125" bestFit="1" customWidth="1"/>
    <col min="4" max="4" width="10.08984375" bestFit="1" customWidth="1"/>
    <col min="5" max="5" width="17.36328125" bestFit="1" customWidth="1"/>
    <col min="6" max="6" width="11.26953125" bestFit="1" customWidth="1"/>
    <col min="7" max="7" width="8.36328125" bestFit="1" customWidth="1"/>
    <col min="8" max="8" width="14.7265625" bestFit="1" customWidth="1"/>
    <col min="9" max="9" width="1.81640625" customWidth="1"/>
    <col min="10" max="10" width="8.36328125" bestFit="1" customWidth="1"/>
    <col min="11" max="11" width="9.453125" customWidth="1"/>
    <col min="12" max="12" width="10.7265625" customWidth="1"/>
    <col min="13" max="13" width="1.81640625" customWidth="1"/>
    <col min="14" max="14" width="11" bestFit="1" customWidth="1"/>
    <col min="15" max="15" width="12.1796875" bestFit="1" customWidth="1"/>
    <col min="16" max="16" width="11.08984375" bestFit="1" customWidth="1"/>
  </cols>
  <sheetData>
    <row r="7" spans="2:19" ht="15" thickBot="1" x14ac:dyDescent="0.4"/>
    <row r="8" spans="2:19" x14ac:dyDescent="0.35">
      <c r="B8" s="31"/>
      <c r="C8" s="31"/>
      <c r="D8" s="31"/>
    </row>
    <row r="11" spans="2:19" x14ac:dyDescent="0.35">
      <c r="B11" s="1" t="s">
        <v>62</v>
      </c>
    </row>
    <row r="12" spans="2:19" x14ac:dyDescent="0.35">
      <c r="B12" s="2" t="s">
        <v>0</v>
      </c>
      <c r="C12" s="3"/>
      <c r="D12" s="3"/>
      <c r="E12" s="3"/>
      <c r="F12" s="3"/>
      <c r="G12" s="3"/>
      <c r="H12" s="3"/>
      <c r="I12" s="3"/>
      <c r="J12" s="3"/>
      <c r="K12" s="3"/>
    </row>
    <row r="13" spans="2:19" ht="4" customHeight="1" x14ac:dyDescent="0.35"/>
    <row r="14" spans="2:19" x14ac:dyDescent="0.35">
      <c r="B14" s="6"/>
      <c r="C14" s="6"/>
      <c r="D14" s="32" t="s">
        <v>6</v>
      </c>
      <c r="E14" s="32"/>
      <c r="F14" s="32"/>
      <c r="G14" s="32"/>
      <c r="H14" s="8"/>
      <c r="I14" s="6"/>
      <c r="J14" s="32" t="s">
        <v>12</v>
      </c>
      <c r="K14" s="32"/>
      <c r="L14" s="32"/>
      <c r="M14" s="4"/>
      <c r="N14" s="32" t="s">
        <v>11</v>
      </c>
      <c r="O14" s="32"/>
      <c r="P14" s="32"/>
      <c r="Q14" s="32"/>
      <c r="R14" s="9"/>
    </row>
    <row r="15" spans="2:19" ht="22.5" customHeight="1" x14ac:dyDescent="0.35">
      <c r="B15" s="7" t="s">
        <v>35</v>
      </c>
      <c r="C15" s="7" t="s">
        <v>36</v>
      </c>
      <c r="D15" s="14" t="s">
        <v>1</v>
      </c>
      <c r="E15" s="10" t="s">
        <v>2</v>
      </c>
      <c r="F15" s="10" t="s">
        <v>3</v>
      </c>
      <c r="G15" s="10" t="s">
        <v>4</v>
      </c>
      <c r="H15" s="10" t="s">
        <v>5</v>
      </c>
      <c r="I15" s="10"/>
      <c r="J15" s="10" t="s">
        <v>8</v>
      </c>
      <c r="K15" s="10" t="s">
        <v>9</v>
      </c>
      <c r="L15" s="10" t="s">
        <v>10</v>
      </c>
      <c r="M15" s="5" t="s">
        <v>7</v>
      </c>
      <c r="N15" s="6" t="s">
        <v>47</v>
      </c>
      <c r="O15" s="6" t="s">
        <v>48</v>
      </c>
      <c r="P15" s="6" t="s">
        <v>49</v>
      </c>
      <c r="Q15" s="4"/>
      <c r="R15" s="9"/>
      <c r="S15" s="9"/>
    </row>
    <row r="16" spans="2:19" ht="5" customHeight="1" x14ac:dyDescent="0.35"/>
    <row r="17" spans="2:16" x14ac:dyDescent="0.35">
      <c r="B17" s="16" t="str">
        <f>Sheet2!$C$7</f>
        <v>Cipla</v>
      </c>
      <c r="C17" s="16" t="s">
        <v>41</v>
      </c>
      <c r="D17" s="17">
        <f>Sheet2!D7</f>
        <v>1327</v>
      </c>
      <c r="E17" s="17">
        <f>Sheet2!E7</f>
        <v>80.78</v>
      </c>
      <c r="F17" s="17">
        <f>D17*E17</f>
        <v>107195.06</v>
      </c>
      <c r="G17" s="17">
        <f>Sheet2!I7</f>
        <v>-332.47</v>
      </c>
      <c r="H17" s="17">
        <f>Sheet2!J7</f>
        <v>106862.59</v>
      </c>
      <c r="I17" s="17"/>
      <c r="J17" s="17">
        <f>Sheet2!K7</f>
        <v>28351.08</v>
      </c>
      <c r="K17" s="17">
        <f>Sheet2!N7</f>
        <v>7488.85</v>
      </c>
      <c r="L17" s="17">
        <f>Sheet2!O3</f>
        <v>10952.92</v>
      </c>
      <c r="M17" s="16"/>
      <c r="N17" s="18">
        <f>$H17/J17</f>
        <v>3.7692599364821371</v>
      </c>
      <c r="O17" s="18">
        <f t="shared" ref="O17:O26" si="0">$H17/K17</f>
        <v>14.269559411658665</v>
      </c>
      <c r="P17" s="18">
        <f>F17/L17</f>
        <v>9.7868933581182009</v>
      </c>
    </row>
    <row r="18" spans="2:16" x14ac:dyDescent="0.35">
      <c r="B18" s="19" t="str">
        <f>Sheet2!C3</f>
        <v>Sun Pharma.Inds.</v>
      </c>
      <c r="C18" s="19" t="s">
        <v>37</v>
      </c>
      <c r="D18" s="20">
        <f>Sheet2!D3</f>
        <v>1787</v>
      </c>
      <c r="E18" s="20">
        <f>Sheet2!E3</f>
        <v>239.93</v>
      </c>
      <c r="F18" s="20">
        <f>D18*E18</f>
        <v>428754.91000000003</v>
      </c>
      <c r="G18" s="20">
        <f>Sheet2!I3</f>
        <v>-6116.52</v>
      </c>
      <c r="H18" s="20">
        <f>Sheet2!J3</f>
        <v>422638.39</v>
      </c>
      <c r="I18" s="20"/>
      <c r="J18" s="20">
        <f>Sheet2!K3</f>
        <v>56809.09</v>
      </c>
      <c r="K18" s="20">
        <f>Sheet2!N3</f>
        <v>19619.379999999997</v>
      </c>
      <c r="L18" s="20">
        <f>Sheet2!O4</f>
        <v>2479</v>
      </c>
      <c r="M18" s="19"/>
      <c r="N18" s="21">
        <f t="shared" ref="N18:N26" si="1">$H18/J18</f>
        <v>7.4396261232137331</v>
      </c>
      <c r="O18" s="21">
        <f t="shared" si="0"/>
        <v>21.541883076835255</v>
      </c>
      <c r="P18" s="21">
        <f t="shared" ref="P18:P26" si="2">F18/L18</f>
        <v>172.95478418717227</v>
      </c>
    </row>
    <row r="19" spans="2:16" x14ac:dyDescent="0.35">
      <c r="B19" s="19" t="str">
        <f>Sheet2!C4</f>
        <v>Divi's Lab.</v>
      </c>
      <c r="C19" s="19" t="s">
        <v>38</v>
      </c>
      <c r="D19" s="20">
        <f>Sheet2!D4</f>
        <v>6368</v>
      </c>
      <c r="E19" s="20">
        <f>Sheet2!E4</f>
        <v>26.55</v>
      </c>
      <c r="F19" s="20">
        <f t="shared" ref="F19:F26" si="3">D19*E19</f>
        <v>169070.4</v>
      </c>
      <c r="G19" s="20">
        <f>Sheet2!I4</f>
        <v>-3625</v>
      </c>
      <c r="H19" s="20">
        <f>Sheet2!J4</f>
        <v>165445.4</v>
      </c>
      <c r="I19" s="20"/>
      <c r="J19" s="20">
        <f>Sheet2!K4</f>
        <v>10314</v>
      </c>
      <c r="K19" s="20">
        <f>Sheet2!N4</f>
        <v>3831</v>
      </c>
      <c r="L19" s="20">
        <f>Sheet2!O5</f>
        <v>2272</v>
      </c>
      <c r="M19" s="19"/>
      <c r="N19" s="21">
        <f t="shared" si="1"/>
        <v>16.040857087453947</v>
      </c>
      <c r="O19" s="21">
        <f t="shared" si="0"/>
        <v>43.185956669276948</v>
      </c>
      <c r="P19" s="21">
        <f t="shared" si="2"/>
        <v>74.414788732394371</v>
      </c>
    </row>
    <row r="20" spans="2:16" x14ac:dyDescent="0.35">
      <c r="B20" s="19" t="str">
        <f>Sheet2!C5</f>
        <v>Torrent Pharma.</v>
      </c>
      <c r="C20" s="19" t="s">
        <v>39</v>
      </c>
      <c r="D20" s="20">
        <f>Sheet2!D5</f>
        <v>4347.6499999999996</v>
      </c>
      <c r="E20" s="20">
        <f>Sheet2!E5</f>
        <v>33.840000000000003</v>
      </c>
      <c r="F20" s="20">
        <f t="shared" si="3"/>
        <v>147124.476</v>
      </c>
      <c r="G20" s="20">
        <f>Sheet2!I5</f>
        <v>2242.54</v>
      </c>
      <c r="H20" s="20">
        <f>Sheet2!J5</f>
        <v>149367.016</v>
      </c>
      <c r="I20" s="20"/>
      <c r="J20" s="20">
        <f>Sheet2!K5</f>
        <v>12742</v>
      </c>
      <c r="K20" s="20">
        <f>Sheet2!N5</f>
        <v>4072</v>
      </c>
      <c r="L20" s="20">
        <f>Sheet2!O6</f>
        <v>5523</v>
      </c>
      <c r="M20" s="19"/>
      <c r="N20" s="21">
        <f t="shared" si="1"/>
        <v>11.722415319416104</v>
      </c>
      <c r="O20" s="21">
        <f t="shared" si="0"/>
        <v>36.681487229862476</v>
      </c>
      <c r="P20" s="21">
        <f t="shared" si="2"/>
        <v>26.638507332971212</v>
      </c>
    </row>
    <row r="21" spans="2:16" x14ac:dyDescent="0.35">
      <c r="B21" s="19" t="str">
        <f>Sheet2!C6</f>
        <v>Dr Reddy's Labs</v>
      </c>
      <c r="C21" s="19" t="s">
        <v>40</v>
      </c>
      <c r="D21" s="20">
        <f>Sheet2!D6</f>
        <v>1315.2</v>
      </c>
      <c r="E21" s="20">
        <f>Sheet2!E6</f>
        <v>83.46</v>
      </c>
      <c r="F21" s="20">
        <f t="shared" si="3"/>
        <v>109766.59199999999</v>
      </c>
      <c r="G21" s="20">
        <f>Sheet2!I6</f>
        <v>3393.8</v>
      </c>
      <c r="H21" s="20">
        <f>Sheet2!J6</f>
        <v>113160.39199999999</v>
      </c>
      <c r="I21" s="20"/>
      <c r="J21" s="20">
        <f>Sheet2!K6</f>
        <v>34682.199999999997</v>
      </c>
      <c r="K21" s="20">
        <f>Sheet2!N6</f>
        <v>9488.2999999999993</v>
      </c>
      <c r="L21" s="20">
        <f>Sheet2!O7</f>
        <v>4533.37</v>
      </c>
      <c r="M21" s="19"/>
      <c r="N21" s="21">
        <f t="shared" si="1"/>
        <v>3.2627801004549886</v>
      </c>
      <c r="O21" s="21">
        <f t="shared" si="0"/>
        <v>11.926308400872653</v>
      </c>
      <c r="P21" s="21">
        <f t="shared" si="2"/>
        <v>24.213022982902341</v>
      </c>
    </row>
    <row r="22" spans="2:16" x14ac:dyDescent="0.35">
      <c r="B22" s="19" t="str">
        <f>Sheet2!C8</f>
        <v>Lupin</v>
      </c>
      <c r="C22" s="19" t="s">
        <v>42</v>
      </c>
      <c r="D22" s="20">
        <f>Sheet2!D8</f>
        <v>2334</v>
      </c>
      <c r="E22" s="20">
        <f>Sheet2!E8</f>
        <v>45.7</v>
      </c>
      <c r="F22" s="20">
        <f t="shared" si="3"/>
        <v>106663.8</v>
      </c>
      <c r="G22" s="20">
        <f>Sheet2!I8</f>
        <v>3074.67</v>
      </c>
      <c r="H22" s="20">
        <f>Sheet2!J8</f>
        <v>109738.47</v>
      </c>
      <c r="I22" s="20"/>
      <c r="J22" s="20">
        <f>Sheet2!K8</f>
        <v>26150.5</v>
      </c>
      <c r="K22" s="20">
        <f>Sheet2!N8</f>
        <v>7992.2800000000007</v>
      </c>
      <c r="L22" s="20">
        <f>Sheet2!O8</f>
        <v>4669.18</v>
      </c>
      <c r="M22" s="19"/>
      <c r="N22" s="21">
        <f t="shared" si="1"/>
        <v>4.1964195713275085</v>
      </c>
      <c r="O22" s="21">
        <f t="shared" si="0"/>
        <v>13.73055873918331</v>
      </c>
      <c r="P22" s="21">
        <f t="shared" si="2"/>
        <v>22.844225324361023</v>
      </c>
    </row>
    <row r="23" spans="2:16" x14ac:dyDescent="0.35">
      <c r="B23" s="19" t="str">
        <f>Sheet2!C9</f>
        <v>Zydus Lifesci.</v>
      </c>
      <c r="C23" s="19" t="s">
        <v>43</v>
      </c>
      <c r="D23" s="20">
        <f>Sheet2!D9</f>
        <v>914.45</v>
      </c>
      <c r="E23" s="20">
        <f>Sheet2!E9</f>
        <v>100.62</v>
      </c>
      <c r="F23" s="20">
        <f t="shared" si="3"/>
        <v>92011.959000000003</v>
      </c>
      <c r="G23" s="20">
        <f>Sheet2!I9</f>
        <v>6679.3</v>
      </c>
      <c r="H23" s="20">
        <f>Sheet2!J9</f>
        <v>98691.259000000005</v>
      </c>
      <c r="I23" s="20"/>
      <c r="J23" s="20">
        <f>Sheet2!K9</f>
        <v>26089.3</v>
      </c>
      <c r="K23" s="20">
        <f>Sheet2!N9</f>
        <v>8502.1</v>
      </c>
      <c r="L23" s="20">
        <f>Sheet2!O9</f>
        <v>5026.2</v>
      </c>
      <c r="M23" s="19"/>
      <c r="N23" s="21">
        <f t="shared" si="1"/>
        <v>3.7828251045447754</v>
      </c>
      <c r="O23" s="21">
        <f t="shared" si="0"/>
        <v>11.607868526599312</v>
      </c>
      <c r="P23" s="21">
        <f t="shared" si="2"/>
        <v>18.306465918586607</v>
      </c>
    </row>
    <row r="24" spans="2:16" x14ac:dyDescent="0.35">
      <c r="B24" s="19" t="str">
        <f>Sheet2!C10</f>
        <v>Mankind Pharma</v>
      </c>
      <c r="C24" s="19" t="s">
        <v>44</v>
      </c>
      <c r="D24" s="20">
        <f>Sheet2!D10</f>
        <v>2224.5500000000002</v>
      </c>
      <c r="E24" s="20">
        <f>Sheet2!E10</f>
        <v>41.28</v>
      </c>
      <c r="F24" s="20">
        <f t="shared" si="3"/>
        <v>91829.424000000014</v>
      </c>
      <c r="G24" s="20">
        <f>Sheet2!I10</f>
        <v>7814.15</v>
      </c>
      <c r="H24" s="20">
        <f>Sheet2!J10</f>
        <v>99643.574000000008</v>
      </c>
      <c r="I24" s="20"/>
      <c r="J24" s="20">
        <f>Sheet2!K10</f>
        <v>13914.08</v>
      </c>
      <c r="K24" s="20">
        <f>Sheet2!N10</f>
        <v>3877.5699999999997</v>
      </c>
      <c r="L24" s="20">
        <f>Sheet2!O10</f>
        <v>1803.33</v>
      </c>
      <c r="M24" s="19"/>
      <c r="N24" s="21">
        <f t="shared" si="1"/>
        <v>7.1613483607971213</v>
      </c>
      <c r="O24" s="21">
        <f t="shared" si="0"/>
        <v>25.697427512591652</v>
      </c>
      <c r="P24" s="21">
        <f t="shared" si="2"/>
        <v>50.922140706359912</v>
      </c>
    </row>
    <row r="25" spans="2:16" x14ac:dyDescent="0.35">
      <c r="B25" s="19" t="str">
        <f>Sheet2!C11</f>
        <v>Aurobindo Pharma</v>
      </c>
      <c r="C25" s="19" t="s">
        <v>45</v>
      </c>
      <c r="D25" s="20">
        <f>Sheet2!D11</f>
        <v>1226.7</v>
      </c>
      <c r="E25" s="20">
        <f>Sheet2!E11</f>
        <v>58.08</v>
      </c>
      <c r="F25" s="20">
        <f t="shared" si="3"/>
        <v>71246.736000000004</v>
      </c>
      <c r="G25" s="20">
        <f>Sheet2!I11</f>
        <v>-440.98999999999978</v>
      </c>
      <c r="H25" s="20">
        <f>Sheet2!J11</f>
        <v>70805.745999999999</v>
      </c>
      <c r="I25" s="20"/>
      <c r="J25" s="20">
        <f>Sheet2!K11</f>
        <v>33181.86</v>
      </c>
      <c r="K25" s="20">
        <f>Sheet2!N11</f>
        <v>7366.49</v>
      </c>
      <c r="L25" s="20">
        <f>Sheet2!O11</f>
        <v>3484.96</v>
      </c>
      <c r="M25" s="19"/>
      <c r="N25" s="21">
        <f t="shared" si="1"/>
        <v>2.1338691080005763</v>
      </c>
      <c r="O25" s="21">
        <f t="shared" si="0"/>
        <v>9.6118702394220321</v>
      </c>
      <c r="P25" s="21">
        <f t="shared" si="2"/>
        <v>20.444061337863275</v>
      </c>
    </row>
    <row r="26" spans="2:16" x14ac:dyDescent="0.35">
      <c r="B26" s="19" t="str">
        <f>Sheet2!C12</f>
        <v>Alkem Lab</v>
      </c>
      <c r="C26" s="19" t="s">
        <v>46</v>
      </c>
      <c r="D26" s="20">
        <f>Sheet2!D12</f>
        <v>5552.2</v>
      </c>
      <c r="E26" s="20">
        <f>Sheet2!E12</f>
        <v>11.96</v>
      </c>
      <c r="F26" s="20">
        <f t="shared" si="3"/>
        <v>66404.312000000005</v>
      </c>
      <c r="G26" s="20">
        <f>Sheet2!I12</f>
        <v>792.52</v>
      </c>
      <c r="H26" s="20">
        <f>Sheet2!J12</f>
        <v>67196.832000000009</v>
      </c>
      <c r="I26" s="20"/>
      <c r="J26" s="20">
        <f>Sheet2!K12</f>
        <v>14252.7</v>
      </c>
      <c r="K26" s="20">
        <f>Sheet2!N12</f>
        <v>3408.35</v>
      </c>
      <c r="L26" s="20">
        <f>Sheet2!O12</f>
        <v>2422.44</v>
      </c>
      <c r="M26" s="19"/>
      <c r="N26" s="21">
        <f t="shared" si="1"/>
        <v>4.7146738512702857</v>
      </c>
      <c r="O26" s="21">
        <f t="shared" si="0"/>
        <v>19.715355523933873</v>
      </c>
      <c r="P26" s="21">
        <f t="shared" si="2"/>
        <v>27.412159640692856</v>
      </c>
    </row>
    <row r="27" spans="2:16" ht="4.5" customHeight="1" x14ac:dyDescent="0.35"/>
    <row r="28" spans="2:16" x14ac:dyDescent="0.35">
      <c r="B28" s="24" t="s">
        <v>50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5">
        <f>MAX(N17:N26)</f>
        <v>16.040857087453947</v>
      </c>
      <c r="O28" s="25">
        <f t="shared" ref="O28:P28" si="4">MAX(O17:O26)</f>
        <v>43.185956669276948</v>
      </c>
      <c r="P28" s="25">
        <f t="shared" si="4"/>
        <v>172.95478418717227</v>
      </c>
    </row>
    <row r="29" spans="2:16" x14ac:dyDescent="0.35">
      <c r="B29" s="24" t="s">
        <v>51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5">
        <f>QUARTILE(N17:N26,)</f>
        <v>2.1338691080005763</v>
      </c>
      <c r="O29" s="25">
        <f t="shared" ref="O29:P29" si="5">QUARTILE(O17:O26,)</f>
        <v>9.6118702394220321</v>
      </c>
      <c r="P29" s="25">
        <f t="shared" si="5"/>
        <v>9.7868933581182009</v>
      </c>
    </row>
    <row r="30" spans="2:16" x14ac:dyDescent="0.35">
      <c r="B30" s="26" t="s">
        <v>52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7">
        <f>AVERAGE(N17:N26)</f>
        <v>6.422407456296118</v>
      </c>
      <c r="O30" s="27">
        <f t="shared" ref="O30:P30" si="6">AVERAGE(O17:O26)</f>
        <v>20.79682753302362</v>
      </c>
      <c r="P30" s="27">
        <f t="shared" si="6"/>
        <v>44.7937049521422</v>
      </c>
    </row>
    <row r="31" spans="2:16" x14ac:dyDescent="0.35">
      <c r="B31" s="26" t="s">
        <v>53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7">
        <f>MEDIAN(N17:N26)</f>
        <v>4.4555467112988971</v>
      </c>
      <c r="O31" s="27">
        <f t="shared" ref="O31:P31" si="7">MEDIAN(O17:O26)</f>
        <v>16.992457467796271</v>
      </c>
      <c r="P31" s="27">
        <f t="shared" si="7"/>
        <v>25.425765157936777</v>
      </c>
    </row>
    <row r="32" spans="2:16" x14ac:dyDescent="0.35">
      <c r="B32" s="24" t="s">
        <v>54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5">
        <f>QUARTILE(N17:N26,)</f>
        <v>2.1338691080005763</v>
      </c>
      <c r="O32" s="25">
        <f t="shared" ref="O32:P32" si="8">QUARTILE(O17:O26,)</f>
        <v>9.6118702394220321</v>
      </c>
      <c r="P32" s="25">
        <f t="shared" si="8"/>
        <v>9.7868933581182009</v>
      </c>
    </row>
    <row r="33" spans="2:16" x14ac:dyDescent="0.35">
      <c r="B33" s="24" t="s">
        <v>55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5">
        <f>MIN(N17:N26)</f>
        <v>2.1338691080005763</v>
      </c>
      <c r="O33" s="25">
        <f t="shared" ref="O33:P33" si="9">MIN(O17:O26)</f>
        <v>9.6118702394220321</v>
      </c>
      <c r="P33" s="25">
        <f t="shared" si="9"/>
        <v>9.7868933581182009</v>
      </c>
    </row>
    <row r="34" spans="2:16" x14ac:dyDescent="0.35">
      <c r="N34" t="s">
        <v>7</v>
      </c>
    </row>
    <row r="35" spans="2:16" x14ac:dyDescent="0.35">
      <c r="B35" s="6" t="s">
        <v>56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 t="s">
        <v>47</v>
      </c>
      <c r="O35" s="6" t="s">
        <v>48</v>
      </c>
      <c r="P35" s="6" t="s">
        <v>49</v>
      </c>
    </row>
    <row r="36" spans="2:16" ht="2.5" customHeight="1" x14ac:dyDescent="0.35"/>
    <row r="37" spans="2:16" x14ac:dyDescent="0.35">
      <c r="B37" s="28" t="s">
        <v>57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9">
        <f>N$31*J17</f>
        <v>126319.56125577194</v>
      </c>
      <c r="O37" s="29">
        <f t="shared" ref="O37" si="10">O$31*K17</f>
        <v>127253.96510770611</v>
      </c>
      <c r="P37" s="29">
        <f>P39+P38</f>
        <v>278153.90171366889</v>
      </c>
    </row>
    <row r="38" spans="2:16" x14ac:dyDescent="0.35">
      <c r="B38" s="28" t="s">
        <v>4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9">
        <f>$G$17</f>
        <v>-332.47</v>
      </c>
      <c r="O38" s="29">
        <f t="shared" ref="O38:P38" si="11">$G$17</f>
        <v>-332.47</v>
      </c>
      <c r="P38" s="29">
        <f t="shared" si="11"/>
        <v>-332.47</v>
      </c>
    </row>
    <row r="39" spans="2:16" x14ac:dyDescent="0.35">
      <c r="B39" s="28" t="s">
        <v>58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9">
        <f>N37-N38</f>
        <v>126652.03125577194</v>
      </c>
      <c r="O39" s="29">
        <f t="shared" ref="O39" si="12">O37-O38</f>
        <v>127586.43510770611</v>
      </c>
      <c r="P39" s="29">
        <f>P31*L17</f>
        <v>278486.37171366886</v>
      </c>
    </row>
    <row r="40" spans="2:16" x14ac:dyDescent="0.35">
      <c r="B40" s="28" t="s">
        <v>59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9">
        <f>$E$17</f>
        <v>80.78</v>
      </c>
      <c r="O40" s="29">
        <f t="shared" ref="O40:P40" si="13">$E$17</f>
        <v>80.78</v>
      </c>
      <c r="P40" s="29">
        <f t="shared" si="13"/>
        <v>80.78</v>
      </c>
    </row>
    <row r="41" spans="2:16" ht="3" customHeight="1" thickBot="1" x14ac:dyDescent="0.4">
      <c r="N41" s="15"/>
      <c r="O41" s="15"/>
      <c r="P41" s="15"/>
    </row>
    <row r="42" spans="2:16" ht="15" thickBot="1" x14ac:dyDescent="0.4">
      <c r="B42" s="22" t="s">
        <v>60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3">
        <f>N39/N40</f>
        <v>1567.8637194326807</v>
      </c>
      <c r="O42" s="23">
        <f t="shared" ref="O42:P42" si="14">O39/O40</f>
        <v>1579.4309867257502</v>
      </c>
      <c r="P42" s="23">
        <f t="shared" si="14"/>
        <v>3447.4668446851801</v>
      </c>
    </row>
    <row r="43" spans="2:16" ht="4.5" customHeight="1" x14ac:dyDescent="0.35"/>
    <row r="44" spans="2:16" x14ac:dyDescent="0.35">
      <c r="B44" s="30" t="s">
        <v>61</v>
      </c>
    </row>
    <row r="45" spans="2:16" x14ac:dyDescent="0.35">
      <c r="N45" t="str">
        <f>IF(N42&gt;$D$17, "Undervalued","Overvalued")</f>
        <v>Undervalued</v>
      </c>
      <c r="O45" t="str">
        <f t="shared" ref="O45:P45" si="15">IF(O42&gt;$D$17, "Undervalued","Overvalued")</f>
        <v>Undervalued</v>
      </c>
      <c r="P45" t="str">
        <f t="shared" si="15"/>
        <v>Undervalued</v>
      </c>
    </row>
    <row r="46" spans="2:16" x14ac:dyDescent="0.35">
      <c r="B46" t="s">
        <v>7</v>
      </c>
    </row>
  </sheetData>
  <mergeCells count="3">
    <mergeCell ref="D14:G14"/>
    <mergeCell ref="J14:L14"/>
    <mergeCell ref="N14:Q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3AD2-DF0D-458C-9F49-3FAABE0E93A1}">
  <dimension ref="B2:R17"/>
  <sheetViews>
    <sheetView topLeftCell="E1" workbookViewId="0">
      <selection activeCell="P11" sqref="P11"/>
    </sheetView>
  </sheetViews>
  <sheetFormatPr defaultRowHeight="14.5" x14ac:dyDescent="0.35"/>
  <cols>
    <col min="3" max="3" width="16.7265625" bestFit="1" customWidth="1"/>
    <col min="4" max="4" width="8.36328125" bestFit="1" customWidth="1"/>
    <col min="5" max="5" width="15.81640625" bestFit="1" customWidth="1"/>
    <col min="6" max="6" width="15.81640625" customWidth="1"/>
    <col min="7" max="7" width="10.1796875" bestFit="1" customWidth="1"/>
    <col min="8" max="8" width="13.90625" bestFit="1" customWidth="1"/>
    <col min="9" max="10" width="13.90625" customWidth="1"/>
    <col min="11" max="11" width="10.36328125" bestFit="1" customWidth="1"/>
    <col min="12" max="12" width="14.08984375" bestFit="1" customWidth="1"/>
    <col min="13" max="13" width="13.7265625" bestFit="1" customWidth="1"/>
    <col min="14" max="14" width="8.81640625" customWidth="1"/>
    <col min="15" max="15" width="12" bestFit="1" customWidth="1"/>
    <col min="16" max="16" width="13.81640625" bestFit="1" customWidth="1"/>
  </cols>
  <sheetData>
    <row r="2" spans="2:18" x14ac:dyDescent="0.35">
      <c r="B2" s="11" t="s">
        <v>13</v>
      </c>
      <c r="C2" t="s">
        <v>14</v>
      </c>
      <c r="D2" t="s">
        <v>15</v>
      </c>
      <c r="E2" t="s">
        <v>16</v>
      </c>
      <c r="F2" t="s">
        <v>32</v>
      </c>
      <c r="G2" t="s">
        <v>17</v>
      </c>
      <c r="H2" t="s">
        <v>18</v>
      </c>
      <c r="I2" t="s">
        <v>4</v>
      </c>
      <c r="J2" s="11" t="s">
        <v>33</v>
      </c>
      <c r="K2" t="s">
        <v>19</v>
      </c>
      <c r="L2" t="s">
        <v>20</v>
      </c>
      <c r="M2" t="s">
        <v>21</v>
      </c>
      <c r="N2" t="s">
        <v>9</v>
      </c>
      <c r="O2" t="s">
        <v>34</v>
      </c>
    </row>
    <row r="3" spans="2:18" x14ac:dyDescent="0.35">
      <c r="B3" s="11">
        <v>1</v>
      </c>
      <c r="C3" t="s">
        <v>22</v>
      </c>
      <c r="D3" s="12">
        <v>1787</v>
      </c>
      <c r="E3" s="12">
        <v>239.93</v>
      </c>
      <c r="F3" s="12">
        <f>D3*E3</f>
        <v>428754.91000000003</v>
      </c>
      <c r="G3" s="12">
        <v>5215.1000000000004</v>
      </c>
      <c r="H3" s="12">
        <v>11331.62</v>
      </c>
      <c r="I3" s="12">
        <f>G3-H3</f>
        <v>-6116.52</v>
      </c>
      <c r="J3" s="12">
        <f t="shared" ref="J3:J12" si="0">F3+G3-H3</f>
        <v>422638.39</v>
      </c>
      <c r="K3" s="12">
        <v>56809.09</v>
      </c>
      <c r="L3" s="12">
        <v>16793.21</v>
      </c>
      <c r="M3" s="12">
        <v>2826.17</v>
      </c>
      <c r="N3" s="12">
        <f>L3+M3</f>
        <v>19619.379999999997</v>
      </c>
      <c r="O3" s="13">
        <v>10952.92</v>
      </c>
      <c r="P3" s="12"/>
    </row>
    <row r="4" spans="2:18" x14ac:dyDescent="0.35">
      <c r="B4" s="11">
        <v>2</v>
      </c>
      <c r="C4" t="s">
        <v>23</v>
      </c>
      <c r="D4" s="12">
        <v>6368</v>
      </c>
      <c r="E4" s="12">
        <v>26.55</v>
      </c>
      <c r="F4" s="12">
        <f t="shared" ref="F4:F12" si="1">D4*E4</f>
        <v>169070.4</v>
      </c>
      <c r="G4" s="12">
        <v>90</v>
      </c>
      <c r="H4" s="12">
        <v>3715</v>
      </c>
      <c r="I4" s="12">
        <f t="shared" ref="I4:I12" si="2">G4-H4</f>
        <v>-3625</v>
      </c>
      <c r="J4" s="12">
        <f t="shared" si="0"/>
        <v>165445.4</v>
      </c>
      <c r="K4" s="12">
        <v>10314</v>
      </c>
      <c r="L4" s="12">
        <v>3381</v>
      </c>
      <c r="M4" s="12">
        <v>450</v>
      </c>
      <c r="N4" s="12">
        <f t="shared" ref="N4:N12" si="3">L4+M4</f>
        <v>3831</v>
      </c>
      <c r="O4" s="13">
        <v>2479</v>
      </c>
      <c r="P4" s="12"/>
    </row>
    <row r="5" spans="2:18" x14ac:dyDescent="0.35">
      <c r="B5" s="11">
        <v>3</v>
      </c>
      <c r="C5" t="s">
        <v>24</v>
      </c>
      <c r="D5" s="12">
        <v>4347.6499999999996</v>
      </c>
      <c r="E5" s="12">
        <v>33.840000000000003</v>
      </c>
      <c r="F5" s="12">
        <f t="shared" si="1"/>
        <v>147124.476</v>
      </c>
      <c r="G5" s="12">
        <v>2822</v>
      </c>
      <c r="H5" s="12">
        <v>579.46</v>
      </c>
      <c r="I5" s="12">
        <f t="shared" si="2"/>
        <v>2242.54</v>
      </c>
      <c r="J5" s="12">
        <f t="shared" si="0"/>
        <v>149367.016</v>
      </c>
      <c r="K5" s="12">
        <v>12742</v>
      </c>
      <c r="L5" s="12">
        <v>3260</v>
      </c>
      <c r="M5" s="12">
        <v>812</v>
      </c>
      <c r="N5" s="12">
        <f t="shared" si="3"/>
        <v>4072</v>
      </c>
      <c r="O5" s="13">
        <v>2272</v>
      </c>
      <c r="P5" s="12"/>
    </row>
    <row r="6" spans="2:18" x14ac:dyDescent="0.35">
      <c r="B6" s="11">
        <v>4</v>
      </c>
      <c r="C6" t="s">
        <v>25</v>
      </c>
      <c r="D6" s="12">
        <v>1315.2</v>
      </c>
      <c r="E6" s="12">
        <v>83.46</v>
      </c>
      <c r="F6" s="12">
        <f t="shared" si="1"/>
        <v>109766.59199999999</v>
      </c>
      <c r="G6" s="12">
        <v>5854</v>
      </c>
      <c r="H6" s="12">
        <v>2460.1999999999998</v>
      </c>
      <c r="I6" s="12">
        <f t="shared" si="2"/>
        <v>3393.8</v>
      </c>
      <c r="J6" s="12">
        <f t="shared" si="0"/>
        <v>113160.39199999999</v>
      </c>
      <c r="K6" s="12">
        <v>34682.199999999997</v>
      </c>
      <c r="L6" s="12">
        <v>7531.9</v>
      </c>
      <c r="M6" s="12">
        <v>1956.4</v>
      </c>
      <c r="N6" s="12">
        <f t="shared" si="3"/>
        <v>9488.2999999999993</v>
      </c>
      <c r="O6" s="13">
        <v>5523</v>
      </c>
      <c r="P6" s="12"/>
    </row>
    <row r="7" spans="2:18" x14ac:dyDescent="0.35">
      <c r="B7" s="11">
        <v>5</v>
      </c>
      <c r="C7" t="s">
        <v>26</v>
      </c>
      <c r="D7" s="12">
        <v>1327</v>
      </c>
      <c r="E7" s="12">
        <v>80.78</v>
      </c>
      <c r="F7" s="12">
        <f t="shared" si="1"/>
        <v>107195.06</v>
      </c>
      <c r="G7" s="12">
        <v>467.37</v>
      </c>
      <c r="H7" s="12">
        <v>799.84</v>
      </c>
      <c r="I7" s="12">
        <f t="shared" si="2"/>
        <v>-332.47</v>
      </c>
      <c r="J7" s="12">
        <f t="shared" si="0"/>
        <v>106862.59</v>
      </c>
      <c r="K7" s="12">
        <v>28351.08</v>
      </c>
      <c r="L7" s="12">
        <v>6352.06</v>
      </c>
      <c r="M7" s="12">
        <v>1136.79</v>
      </c>
      <c r="N7" s="12">
        <f t="shared" si="3"/>
        <v>7488.85</v>
      </c>
      <c r="O7" s="13">
        <v>4533.37</v>
      </c>
      <c r="P7" s="12"/>
    </row>
    <row r="8" spans="2:18" x14ac:dyDescent="0.35">
      <c r="B8" s="11">
        <v>6</v>
      </c>
      <c r="C8" t="s">
        <v>27</v>
      </c>
      <c r="D8" s="12">
        <v>2334</v>
      </c>
      <c r="E8" s="12">
        <v>45.7</v>
      </c>
      <c r="F8" s="12">
        <f t="shared" si="1"/>
        <v>106663.8</v>
      </c>
      <c r="G8" s="12">
        <v>6217</v>
      </c>
      <c r="H8" s="12">
        <v>3142.33</v>
      </c>
      <c r="I8" s="12">
        <f t="shared" si="2"/>
        <v>3074.67</v>
      </c>
      <c r="J8" s="12">
        <f t="shared" si="0"/>
        <v>109738.47</v>
      </c>
      <c r="K8" s="12">
        <v>26150.5</v>
      </c>
      <c r="L8" s="12">
        <v>6670.39</v>
      </c>
      <c r="M8" s="12">
        <v>1321.89</v>
      </c>
      <c r="N8" s="12">
        <f t="shared" si="3"/>
        <v>7992.2800000000007</v>
      </c>
      <c r="O8" s="13">
        <v>4669.18</v>
      </c>
      <c r="P8" s="12"/>
    </row>
    <row r="9" spans="2:18" x14ac:dyDescent="0.35">
      <c r="B9" s="11">
        <v>7</v>
      </c>
      <c r="C9" t="s">
        <v>28</v>
      </c>
      <c r="D9" s="12">
        <v>914.45</v>
      </c>
      <c r="E9" s="12">
        <v>100.62</v>
      </c>
      <c r="F9" s="12">
        <f t="shared" si="1"/>
        <v>92011.959000000003</v>
      </c>
      <c r="G9" s="12">
        <v>9636.1</v>
      </c>
      <c r="H9" s="12">
        <v>2956.8</v>
      </c>
      <c r="I9" s="12">
        <f t="shared" si="2"/>
        <v>6679.3</v>
      </c>
      <c r="J9" s="12">
        <f t="shared" si="0"/>
        <v>98691.259000000005</v>
      </c>
      <c r="K9" s="12">
        <v>26089.3</v>
      </c>
      <c r="L9" s="12">
        <v>7364.6</v>
      </c>
      <c r="M9" s="12">
        <v>1137.5</v>
      </c>
      <c r="N9" s="12">
        <f t="shared" si="3"/>
        <v>8502.1</v>
      </c>
      <c r="O9" s="13">
        <v>5026.2</v>
      </c>
      <c r="P9" s="12"/>
    </row>
    <row r="10" spans="2:18" x14ac:dyDescent="0.35">
      <c r="B10" s="11">
        <v>8</v>
      </c>
      <c r="C10" t="s">
        <v>29</v>
      </c>
      <c r="D10" s="12">
        <v>2224.5500000000002</v>
      </c>
      <c r="E10" s="12">
        <v>41.28</v>
      </c>
      <c r="F10" s="12">
        <f t="shared" si="1"/>
        <v>91829.424000000014</v>
      </c>
      <c r="G10" s="12">
        <v>8368.65</v>
      </c>
      <c r="H10" s="12">
        <v>554.5</v>
      </c>
      <c r="I10" s="12">
        <f t="shared" si="2"/>
        <v>7814.15</v>
      </c>
      <c r="J10" s="12">
        <f t="shared" si="0"/>
        <v>99643.574000000008</v>
      </c>
      <c r="K10" s="12">
        <v>13914.08</v>
      </c>
      <c r="L10" s="12">
        <v>2983.6</v>
      </c>
      <c r="M10" s="12">
        <v>893.97</v>
      </c>
      <c r="N10" s="12">
        <f t="shared" si="3"/>
        <v>3877.5699999999997</v>
      </c>
      <c r="O10" s="13">
        <v>1803.33</v>
      </c>
      <c r="P10" s="12"/>
    </row>
    <row r="11" spans="2:18" x14ac:dyDescent="0.35">
      <c r="B11" s="11">
        <v>9</v>
      </c>
      <c r="C11" t="s">
        <v>30</v>
      </c>
      <c r="D11" s="12">
        <v>1226.7</v>
      </c>
      <c r="E11" s="12">
        <v>58.08</v>
      </c>
      <c r="F11" s="12">
        <f t="shared" si="1"/>
        <v>71246.736000000004</v>
      </c>
      <c r="G11" s="12">
        <v>7794.5</v>
      </c>
      <c r="H11" s="12">
        <v>8235.49</v>
      </c>
      <c r="I11" s="12">
        <f t="shared" si="2"/>
        <v>-440.98999999999978</v>
      </c>
      <c r="J11" s="12">
        <f t="shared" si="0"/>
        <v>70805.745999999999</v>
      </c>
      <c r="K11" s="12">
        <v>33181.86</v>
      </c>
      <c r="L11" s="12">
        <v>5622.44</v>
      </c>
      <c r="M11" s="12">
        <v>1744.05</v>
      </c>
      <c r="N11" s="12">
        <f t="shared" si="3"/>
        <v>7366.49</v>
      </c>
      <c r="O11" s="13">
        <v>3484.96</v>
      </c>
      <c r="P11" s="12"/>
    </row>
    <row r="12" spans="2:18" x14ac:dyDescent="0.35">
      <c r="B12" s="11">
        <v>10</v>
      </c>
      <c r="C12" t="s">
        <v>31</v>
      </c>
      <c r="D12" s="12">
        <v>5552.2</v>
      </c>
      <c r="E12" s="12">
        <v>11.96</v>
      </c>
      <c r="F12" s="12">
        <f t="shared" si="1"/>
        <v>66404.312000000005</v>
      </c>
      <c r="G12" s="12">
        <v>2355.6</v>
      </c>
      <c r="H12" s="12">
        <v>1563.08</v>
      </c>
      <c r="I12" s="12">
        <f t="shared" si="2"/>
        <v>792.52</v>
      </c>
      <c r="J12" s="12">
        <f t="shared" si="0"/>
        <v>67196.832000000009</v>
      </c>
      <c r="K12" s="12">
        <v>14252.7</v>
      </c>
      <c r="L12" s="12">
        <v>3019.56</v>
      </c>
      <c r="M12" s="12">
        <v>388.79</v>
      </c>
      <c r="N12" s="12">
        <f t="shared" si="3"/>
        <v>3408.35</v>
      </c>
      <c r="O12" s="13">
        <v>2422.44</v>
      </c>
      <c r="P12" s="12"/>
      <c r="R12" t="s">
        <v>7</v>
      </c>
    </row>
    <row r="13" spans="2:18" x14ac:dyDescent="0.35">
      <c r="B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2"/>
    </row>
    <row r="14" spans="2:18" x14ac:dyDescent="0.35">
      <c r="B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2"/>
    </row>
    <row r="15" spans="2:18" x14ac:dyDescent="0.35">
      <c r="B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2"/>
    </row>
    <row r="16" spans="2:18" x14ac:dyDescent="0.35">
      <c r="B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2"/>
    </row>
    <row r="17" spans="2:16" x14ac:dyDescent="0.35">
      <c r="B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Comps_Val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rahman</dc:creator>
  <cp:lastModifiedBy>Abdul rahman</cp:lastModifiedBy>
  <dcterms:created xsi:type="dcterms:W3CDTF">2026-03-05T09:21:50Z</dcterms:created>
  <dcterms:modified xsi:type="dcterms:W3CDTF">2026-03-05T19:16:35Z</dcterms:modified>
</cp:coreProperties>
</file>